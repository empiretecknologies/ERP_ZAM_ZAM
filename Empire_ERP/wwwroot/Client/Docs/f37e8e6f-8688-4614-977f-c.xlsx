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BALANCE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<sst xmlns="http://schemas.openxmlformats.org/spreadsheetml/2006/main" count="57" uniqueCount="26">
  <si>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PACKING LIST</t>
  </si>
  <si>
    <t>TO :</t>
  </si>
  <si>
    <t>INVOICE NO.:</t>
  </si>
  <si>
    <t>DATE:</t>
  </si>
  <si>
    <t>REF #</t>
  </si>
  <si>
    <t>SHOP NO.</t>
  </si>
  <si>
    <t>ITEM</t>
  </si>
  <si>
    <t>TOTAL</t>
  </si>
  <si>
    <t>UNIT</t>
  </si>
  <si>
    <t>TTL</t>
  </si>
  <si>
    <t>MEAS</t>
  </si>
  <si>
    <t>CRT</t>
  </si>
  <si>
    <t>QTY</t>
  </si>
  <si>
    <t>PRICE RMB</t>
  </si>
  <si>
    <t>AMOUNT RMB</t>
  </si>
  <si>
    <t>KG</t>
  </si>
  <si>
    <t>CM</t>
  </si>
  <si>
    <t>IML</t>
  </si>
  <si>
    <t>GHUZHEN</t>
  </si>
  <si>
    <t>JD10</t>
  </si>
  <si>
    <t>PCS</t>
  </si>
  <si>
    <t>X</t>
  </si>
  <si>
    <t>JD16</t>
  </si>
  <si>
    <t>JD18</t>
  </si>
  <si>
    <t>JD43</t>
  </si>
  <si>
    <t>JD44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</si>
</sst>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0.000_ "/>
  </numFmts>
  <fonts count="31">
    <font>
      <sz val="12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u/>
      <sz val="12"/>
      <color rgb="FF800080"/>
      <name val="宋体"/>
      <charset val="134"/>
    </font>
    <font>
      <u/>
      <sz val="12"/>
      <color indexed="12"/>
      <name val="宋体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2" fillId="4" borderId="2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9" applyNumberFormat="0" applyAlignment="0" applyProtection="0">
      <alignment vertical="center"/>
    </xf>
    <xf numFmtId="0" fontId="21" fillId="6" borderId="30" applyNumberFormat="0" applyAlignment="0" applyProtection="0">
      <alignment vertical="center"/>
    </xf>
    <xf numFmtId="0" fontId="22" fillId="6" borderId="29" applyNumberFormat="0" applyAlignment="0" applyProtection="0">
      <alignment vertical="center"/>
    </xf>
    <xf numFmtId="0" fontId="23" fillId="7" borderId="31" applyNumberFormat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8" fontId="3" fillId="0" borderId="0" xfId="0" applyNumberFormat="1" applyFont="1" applyAlignment="1">
      <alignment horizontal="center" vertical="center"/>
    </xf>
    <xf numFmtId="178" fontId="4" fillId="0" borderId="0" xfId="6" applyNumberFormat="1" applyFont="1" applyAlignment="1" applyProtection="1">
      <alignment horizontal="right" vertical="center"/>
    </xf>
    <xf numFmtId="178" fontId="5" fillId="0" borderId="0" xfId="6" applyNumberFormat="1" applyFont="1" applyAlignment="1" applyProtection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/>
    </xf>
    <xf numFmtId="49" fontId="9" fillId="2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4" fontId="9" fillId="0" borderId="12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79" fontId="9" fillId="0" borderId="12" xfId="0" applyNumberFormat="1" applyFont="1" applyBorder="1" applyAlignment="1">
      <alignment horizontal="center"/>
    </xf>
    <xf numFmtId="49" fontId="9" fillId="2" borderId="19" xfId="0" applyNumberFormat="1" applyFont="1" applyFill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1" fillId="3" borderId="0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/>
    </xf>
    <xf numFmtId="49" fontId="9" fillId="2" borderId="15" xfId="0" applyNumberFormat="1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F21" sqref="F21"/>
    </sheetView>
  </sheetViews>
  <sheetFormatPr defaultColWidth="9" defaultRowHeight="15"/>
  <cols>
    <col min="1" max="2" width="15.625" customWidth="1"/>
    <col min="3" max="3" width="30.625" customWidth="1"/>
    <col min="4" max="8" width="5.625" customWidth="1"/>
    <col min="9" max="12" width="8.625" customWidth="1"/>
    <col min="13" max="17" width="4.125" customWidth="1"/>
    <col min="18" max="18" width="8.625" customWidth="1"/>
  </cols>
  <sheetData>
    <row r="1" ht="20" spans="1:20">
      <c r="A1" s="2"/>
      <c r="B1" s="2"/>
      <c r="C1" s="2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3"/>
      <c r="T1" s="3"/>
    </row>
    <row r="2" ht="20" spans="1:20">
      <c r="A2" s="2"/>
      <c r="B2" s="2"/>
      <c r="C2" s="2"/>
      <c r="D2" s="3"/>
      <c r="E2" s="3"/>
      <c r="F2" s="3"/>
      <c r="G2" s="3"/>
      <c r="H2" s="3"/>
      <c r="I2" s="3"/>
      <c r="J2" s="6"/>
      <c r="K2" s="6"/>
      <c r="L2" s="6"/>
      <c r="M2" s="6"/>
      <c r="N2" s="6"/>
      <c r="O2" s="6"/>
      <c r="P2" s="6"/>
      <c r="Q2" s="6"/>
      <c r="R2" s="6"/>
      <c r="S2" s="3"/>
      <c r="T2" s="3"/>
    </row>
    <row r="3" ht="20" spans="1:20">
      <c r="A3" s="2"/>
      <c r="B3" s="2"/>
      <c r="C3" s="2"/>
      <c r="D3" s="3"/>
      <c r="E3" s="3"/>
      <c r="F3" s="3"/>
      <c r="G3" s="3"/>
      <c r="H3" s="3"/>
      <c r="I3" s="3"/>
      <c r="J3" s="7"/>
      <c r="K3" s="7"/>
      <c r="L3" s="7"/>
      <c r="M3" s="7"/>
      <c r="N3" s="7"/>
      <c r="O3" s="7"/>
      <c r="P3" s="7"/>
      <c r="Q3" s="7"/>
      <c r="R3" s="7"/>
      <c r="S3" s="3"/>
      <c r="T3" s="3"/>
    </row>
    <row r="4" ht="20" spans="1:20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0" spans="1:20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8" t="s">
        <v>1</v>
      </c>
      <c r="B6" s="9"/>
      <c r="C6" s="10"/>
      <c r="D6" s="10"/>
      <c r="F6" s="11"/>
      <c r="G6" s="12"/>
      <c r="H6" s="13"/>
      <c r="I6" s="14"/>
      <c r="J6" s="14"/>
      <c r="K6" s="13"/>
      <c r="O6" s="14" t="s">
        <v>2</v>
      </c>
      <c r="P6" s="10"/>
      <c r="Q6" s="10"/>
      <c r="R6" s="10"/>
      <c r="S6" s="9"/>
      <c r="T6" s="14"/>
    </row>
    <row r="7" spans="1:20">
      <c r="B7" s="15"/>
      <c r="C7" s="16"/>
      <c r="D7" s="16"/>
      <c r="F7" s="11"/>
      <c r="G7" s="12"/>
      <c r="H7" s="13"/>
      <c r="I7" s="14"/>
      <c r="J7" s="14"/>
      <c r="K7" s="13"/>
      <c r="O7" s="14" t="s">
        <v>3</v>
      </c>
      <c r="P7" s="10"/>
      <c r="Q7" s="10"/>
      <c r="R7" s="10"/>
      <c r="S7" s="9"/>
    </row>
    <row r="8" ht="15.75" spans="1:20">
      <c r="B8" s="15"/>
      <c r="C8" s="16"/>
      <c r="D8" s="16"/>
      <c r="F8" s="11"/>
      <c r="G8" s="12"/>
      <c r="H8" s="13"/>
      <c r="I8" s="14"/>
      <c r="J8" s="14"/>
      <c r="K8" s="13"/>
      <c r="O8" s="14"/>
      <c r="P8" s="10"/>
      <c r="Q8" s="10"/>
      <c r="R8" s="10"/>
      <c r="S8" s="9"/>
    </row>
    <row r="9" ht="12.75" customHeight="1" spans="1:20">
      <c r="A9" s="17" t="s">
        <v>4</v>
      </c>
      <c r="B9" s="18" t="s">
        <v>5</v>
      </c>
      <c r="C9" s="17" t="s">
        <v>6</v>
      </c>
      <c r="D9" s="17" t="s">
        <v>7</v>
      </c>
      <c r="E9" s="19" t="s">
        <v>8</v>
      </c>
      <c r="F9" s="20"/>
      <c r="G9" s="19" t="s">
        <v>7</v>
      </c>
      <c r="H9" s="20"/>
      <c r="I9" s="17" t="s">
        <v>8</v>
      </c>
      <c r="J9" s="17" t="s">
        <v>7</v>
      </c>
      <c r="K9" s="17" t="s">
        <v>8</v>
      </c>
      <c r="L9" s="17" t="s">
        <v>9</v>
      </c>
      <c r="M9" s="19" t="s">
        <v>10</v>
      </c>
      <c r="N9" s="21"/>
      <c r="O9" s="21"/>
      <c r="P9" s="21"/>
      <c r="Q9" s="20"/>
      <c r="R9" s="17" t="s">
        <v>9</v>
      </c>
      <c r="S9" s="22"/>
    </row>
    <row r="10" ht="12.75" customHeight="1" spans="1:20">
      <c r="A10" s="23"/>
      <c r="B10" s="24"/>
      <c r="C10" s="25"/>
      <c r="D10" s="25" t="s">
        <v>11</v>
      </c>
      <c r="E10" s="26" t="s">
        <v>12</v>
      </c>
      <c r="F10" s="27"/>
      <c r="G10" s="26" t="s">
        <v>12</v>
      </c>
      <c r="H10" s="27"/>
      <c r="I10" s="25" t="s">
        <v>13</v>
      </c>
      <c r="J10" s="25" t="s">
        <v>14</v>
      </c>
      <c r="K10" s="25" t="s">
        <v>15</v>
      </c>
      <c r="L10" s="25" t="s">
        <v>15</v>
      </c>
      <c r="M10" s="26"/>
      <c r="N10" s="28"/>
      <c r="O10" s="28"/>
      <c r="P10" s="28"/>
      <c r="Q10" s="29"/>
      <c r="R10" s="30" t="s">
        <v>16</v>
      </c>
      <c r="S10" s="31"/>
    </row>
    <row r="11" ht="12.75" customHeight="1" spans="1:20">
      <c r="A11" s="32" t="s">
        <v>17</v>
      </c>
      <c r="B11" s="33" t="s">
        <v>18</v>
      </c>
      <c r="C11" s="34" t="s">
        <v>19</v>
      </c>
      <c r="D11" s="34">
        <v>5</v>
      </c>
      <c r="E11" s="35">
        <v>25</v>
      </c>
      <c r="F11" s="36" t="s">
        <v>20</v>
      </c>
      <c r="G11" s="37">
        <f t="shared" ref="G11:G16" si="0">PRODUCT(D11,E11)</f>
        <v>125</v>
      </c>
      <c r="H11" s="36" t="s">
        <v>20</v>
      </c>
      <c r="I11" s="38">
        <v>30</v>
      </c>
      <c r="J11" s="39">
        <f t="shared" ref="J11:J16" si="1">PRODUCT(G11,I11)</f>
        <v>3750</v>
      </c>
      <c r="K11" s="34">
        <v>9.93</v>
      </c>
      <c r="L11" s="40">
        <f t="shared" ref="L11:L16" si="2">PRODUCT(D11,K11)</f>
        <v>49.65</v>
      </c>
      <c r="M11" s="41">
        <v>48</v>
      </c>
      <c r="N11" s="42" t="s">
        <v>21</v>
      </c>
      <c r="O11" s="42">
        <v>48</v>
      </c>
      <c r="P11" s="42" t="s">
        <v>21</v>
      </c>
      <c r="Q11" s="43">
        <v>45</v>
      </c>
      <c r="R11" s="44">
        <f t="shared" ref="R11:R16" si="3">((((M11/100)*(O11/100)*(Q11/100))*D11))</f>
        <v>0.5184</v>
      </c>
      <c r="S11" s="22">
        <v>2.473</v>
      </c>
    </row>
    <row r="12" ht="12.75" customHeight="1" spans="1:20">
      <c r="A12" s="32" t="s">
        <v>17</v>
      </c>
      <c r="B12" s="33"/>
      <c r="C12" s="34" t="s">
        <v>22</v>
      </c>
      <c r="D12" s="34">
        <v>17</v>
      </c>
      <c r="E12" s="35">
        <v>20</v>
      </c>
      <c r="F12" s="36" t="s">
        <v>20</v>
      </c>
      <c r="G12" s="37">
        <f t="shared" si="0"/>
        <v>340</v>
      </c>
      <c r="H12" s="36" t="s">
        <v>20</v>
      </c>
      <c r="I12" s="38">
        <v>26</v>
      </c>
      <c r="J12" s="39">
        <f t="shared" si="1"/>
        <v>8840</v>
      </c>
      <c r="K12" s="34">
        <v>17.71</v>
      </c>
      <c r="L12" s="40">
        <f t="shared" si="2"/>
        <v>301.07</v>
      </c>
      <c r="M12" s="41">
        <v>48</v>
      </c>
      <c r="N12" s="42" t="s">
        <v>21</v>
      </c>
      <c r="O12" s="42">
        <v>48</v>
      </c>
      <c r="P12" s="42" t="s">
        <v>21</v>
      </c>
      <c r="Q12" s="43">
        <v>25</v>
      </c>
      <c r="R12" s="44">
        <f t="shared" si="3"/>
        <v>0.9792</v>
      </c>
      <c r="S12" s="22"/>
    </row>
    <row r="13" ht="12.75" customHeight="1" spans="1:20">
      <c r="A13" s="32" t="s">
        <v>17</v>
      </c>
      <c r="B13" s="45"/>
      <c r="C13" s="34" t="s">
        <v>23</v>
      </c>
      <c r="D13" s="34">
        <v>15</v>
      </c>
      <c r="E13" s="35">
        <v>20</v>
      </c>
      <c r="F13" s="36" t="s">
        <v>20</v>
      </c>
      <c r="G13" s="37">
        <f t="shared" si="0"/>
        <v>300</v>
      </c>
      <c r="H13" s="36" t="s">
        <v>20</v>
      </c>
      <c r="I13" s="38">
        <v>26</v>
      </c>
      <c r="J13" s="39">
        <f t="shared" si="1"/>
        <v>7800</v>
      </c>
      <c r="K13" s="34">
        <v>12.38</v>
      </c>
      <c r="L13" s="40">
        <f t="shared" si="2"/>
        <v>185.7</v>
      </c>
      <c r="M13" s="41">
        <v>51</v>
      </c>
      <c r="N13" s="42" t="s">
        <v>21</v>
      </c>
      <c r="O13" s="42">
        <v>51</v>
      </c>
      <c r="P13" s="42" t="s">
        <v>21</v>
      </c>
      <c r="Q13" s="43">
        <v>25</v>
      </c>
      <c r="R13" s="44">
        <f t="shared" si="3"/>
        <v>0.975375</v>
      </c>
      <c r="S13" s="22"/>
    </row>
    <row r="14" spans="1:20">
      <c r="A14" s="32"/>
      <c r="B14" s="46"/>
      <c r="C14" s="34"/>
      <c r="D14" s="34"/>
      <c r="E14" s="35"/>
      <c r="F14" s="36"/>
      <c r="G14" s="37"/>
      <c r="H14" s="36"/>
      <c r="I14" s="38"/>
      <c r="J14" s="39"/>
      <c r="K14" s="34"/>
      <c r="L14" s="40"/>
      <c r="M14" s="41"/>
      <c r="N14" s="42"/>
      <c r="O14" s="42"/>
      <c r="P14" s="42"/>
      <c r="Q14" s="43"/>
      <c r="R14" s="44"/>
      <c r="S14" s="22"/>
    </row>
    <row r="15" ht="12.75" customHeight="1" spans="1:20">
      <c r="A15" s="47" t="s">
        <v>17</v>
      </c>
      <c r="B15" s="48" t="s">
        <v>18</v>
      </c>
      <c r="C15" s="47" t="s">
        <v>24</v>
      </c>
      <c r="D15" s="49">
        <v>27</v>
      </c>
      <c r="E15" s="35">
        <v>50</v>
      </c>
      <c r="F15" s="36" t="s">
        <v>20</v>
      </c>
      <c r="G15" s="50">
        <f t="shared" si="0"/>
        <v>1350</v>
      </c>
      <c r="H15" s="36" t="s">
        <v>20</v>
      </c>
      <c r="I15" s="47">
        <v>6.4</v>
      </c>
      <c r="J15" s="39">
        <f t="shared" si="1"/>
        <v>8640</v>
      </c>
      <c r="K15" s="47">
        <v>14.5</v>
      </c>
      <c r="L15" s="41">
        <f t="shared" si="2"/>
        <v>391.5</v>
      </c>
      <c r="M15" s="51">
        <v>51</v>
      </c>
      <c r="N15" s="52" t="s">
        <v>21</v>
      </c>
      <c r="O15" s="53">
        <v>51</v>
      </c>
      <c r="P15" s="52" t="s">
        <v>21</v>
      </c>
      <c r="Q15" s="54">
        <v>23</v>
      </c>
      <c r="R15" s="55">
        <f t="shared" si="3"/>
        <v>1.615221</v>
      </c>
      <c r="S15" s="13">
        <v>3.35</v>
      </c>
    </row>
    <row r="16" ht="12.75" customHeight="1" spans="1:20">
      <c r="A16" s="47" t="s">
        <v>17</v>
      </c>
      <c r="B16" s="56"/>
      <c r="C16" s="47" t="s">
        <v>25</v>
      </c>
      <c r="D16" s="49">
        <v>29</v>
      </c>
      <c r="E16" s="35">
        <v>50</v>
      </c>
      <c r="F16" s="36" t="s">
        <v>20</v>
      </c>
      <c r="G16" s="50">
        <f t="shared" si="0"/>
        <v>1450</v>
      </c>
      <c r="H16" s="36" t="s">
        <v>20</v>
      </c>
      <c r="I16" s="47">
        <v>5.8</v>
      </c>
      <c r="J16" s="39">
        <f t="shared" si="1"/>
        <v>8410</v>
      </c>
      <c r="K16" s="47">
        <v>14</v>
      </c>
      <c r="L16" s="41">
        <f t="shared" si="2"/>
        <v>406</v>
      </c>
      <c r="M16" s="57">
        <v>51</v>
      </c>
      <c r="N16" s="58" t="s">
        <v>21</v>
      </c>
      <c r="O16" s="59">
        <v>51</v>
      </c>
      <c r="P16" s="58" t="s">
        <v>21</v>
      </c>
      <c r="Q16" s="60">
        <v>23</v>
      </c>
      <c r="R16" s="55">
        <f t="shared" si="3"/>
        <v>1.734867</v>
      </c>
      <c r="S16" s="13"/>
    </row>
    <row r="17" s="1" customFormat="1" spans="1:18">
      <c r="A17" s="1" t="s">
        <v>7</v>
      </c>
      <c r="D17" s="1">
        <f>SUM(D11:D16)</f>
        <v>93</v>
      </c>
      <c r="J17" s="1">
        <f>SUM(J11:J16)</f>
        <v>37440</v>
      </c>
      <c r="R17" s="1">
        <v>5.823</v>
      </c>
    </row>
  </sheetData>
  <mergeCells count="18">
    <mergeCell ref="J1:R1"/>
    <mergeCell ref="J2:R2"/>
    <mergeCell ref="J3:R3"/>
    <mergeCell ref="A5:R5"/>
    <mergeCell ref="B6:D6"/>
    <mergeCell ref="P6:R6"/>
    <mergeCell ref="B7:D7"/>
    <mergeCell ref="P7:R7"/>
    <mergeCell ref="E9:F9"/>
    <mergeCell ref="G9:H9"/>
    <mergeCell ref="M9:Q9"/>
    <mergeCell ref="E10:F10"/>
    <mergeCell ref="G10:H10"/>
    <mergeCell ref="B11:B13"/>
    <mergeCell ref="B15:B16"/>
    <mergeCell ref="S11:S13"/>
    <mergeCell ref="S15:S16"/>
    <mergeCell ref="A1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Zam Zam Traders</cp:lastModifiedBy>
  <dcterms:created xsi:type="dcterms:W3CDTF">2000-04-29T05:45:00Z</dcterms:created>
  <cp:lastPrinted>2021-08-21T07:01:00Z</cp:lastPrinted>
  <dcterms:modified xsi:type="dcterms:W3CDTF">2026-05-17T15:31:54Z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C9E0560D415C4C96B5A05F242DD597E6_13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